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Dahei\Desktop\main夹\cashflow\"/>
    </mc:Choice>
  </mc:AlternateContent>
  <xr:revisionPtr revIDLastSave="0" documentId="13_ncr:1_{0C7B6B94-6049-48DF-ADFE-190766D10158}" xr6:coauthVersionLast="47" xr6:coauthVersionMax="47" xr10:uidLastSave="{00000000-0000-0000-0000-000000000000}"/>
  <bookViews>
    <workbookView xWindow="4209" yWindow="2297" windowWidth="16457" windowHeight="945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B25" i="1"/>
  <c r="B27" i="1" l="1"/>
  <c r="C27" i="1" l="1"/>
  <c r="C39" i="1" s="1"/>
  <c r="B37" i="1"/>
  <c r="B32" i="1"/>
  <c r="B31" i="1"/>
  <c r="B30" i="1"/>
  <c r="B39" i="1"/>
  <c r="B38" i="1"/>
  <c r="C38" i="1" l="1"/>
  <c r="C30" i="1"/>
  <c r="C37" i="1"/>
  <c r="C32" i="1"/>
  <c r="C31" i="1"/>
  <c r="C33" i="1"/>
  <c r="C40" i="1"/>
  <c r="C5" i="1" s="1"/>
  <c r="C7" i="1" s="1"/>
  <c r="B33" i="1"/>
  <c r="B40" i="1"/>
  <c r="B5" i="1" s="1"/>
  <c r="B7" i="1" s="1"/>
</calcChain>
</file>

<file path=xl/sharedStrings.xml><?xml version="1.0" encoding="utf-8"?>
<sst xmlns="http://schemas.openxmlformats.org/spreadsheetml/2006/main" count="41" uniqueCount="32">
  <si>
    <t>Total amount</t>
  </si>
  <si>
    <t>$</t>
  </si>
  <si>
    <t>￥</t>
  </si>
  <si>
    <t>new money from parents</t>
  </si>
  <si>
    <t>Total:</t>
  </si>
  <si>
    <t>Actual Expenses:</t>
  </si>
  <si>
    <t>Expected Expenses:</t>
  </si>
  <si>
    <t>Extra:</t>
  </si>
  <si>
    <t>Total Savings should be:</t>
  </si>
  <si>
    <t>Opening Balance</t>
  </si>
  <si>
    <t>Deposit Interest</t>
  </si>
  <si>
    <t>Dining out</t>
  </si>
  <si>
    <t>Commuting</t>
  </si>
  <si>
    <t>Phone fees</t>
  </si>
  <si>
    <t>App Subscriptions</t>
  </si>
  <si>
    <t>Entertainment</t>
  </si>
  <si>
    <t>Daily Necessities</t>
  </si>
  <si>
    <t>Academic Supplies</t>
  </si>
  <si>
    <t>Clothing</t>
  </si>
  <si>
    <t>Miscellaneous / Waste</t>
  </si>
  <si>
    <t>Sports &amp; Fitness</t>
  </si>
  <si>
    <t>Gifts</t>
  </si>
  <si>
    <t>Helping others</t>
  </si>
  <si>
    <t>Credit Card Cashback</t>
  </si>
  <si>
    <t>Saving from Allowance</t>
  </si>
  <si>
    <r>
      <t>Expenses</t>
    </r>
    <r>
      <rPr>
        <b/>
        <sz val="14"/>
        <color theme="1"/>
        <rFont val="Aptos"/>
        <family val="2"/>
      </rPr>
      <t>(Excluding Tuition)</t>
    </r>
  </si>
  <si>
    <t>Flight 40%</t>
  </si>
  <si>
    <t>Goose 50%</t>
  </si>
  <si>
    <t>Total Saving</t>
  </si>
  <si>
    <t>Daily expense 10%</t>
  </si>
  <si>
    <t>Extra daily expense 10%</t>
  </si>
  <si>
    <t>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</si>
</sst>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_ "/>
    <numFmt numFmtId="165" formatCode="0.0_ "/>
    <numFmt numFmtId="166" formatCode="0_ "/>
  </numFmts>
  <fonts count="30">
    <font>
      <sz val="11"/>
      <color theme="1"/>
      <name val="Calibri"/>
      <charset val="134"/>
      <scheme val="minor"/>
    </font>
    <font>
      <sz val="28"/>
      <color theme="1"/>
      <name val="Arial"/>
      <charset val="134"/>
    </font>
    <font>
      <sz val="24"/>
      <color theme="1"/>
      <name val="Arial"/>
      <charset val="134"/>
    </font>
    <font>
      <sz val="20"/>
      <color theme="1"/>
      <name val="宋体"/>
      <charset val="134"/>
    </font>
    <font>
      <sz val="11"/>
      <color theme="1"/>
      <name val="Arial"/>
      <charset val="134"/>
    </font>
    <font>
      <sz val="16"/>
      <color theme="1"/>
      <name val="Arial"/>
      <charset val="134"/>
    </font>
    <font>
      <sz val="16"/>
      <color rgb="FF000000"/>
      <name val="Arial"/>
      <charset val="134"/>
    </font>
    <font>
      <sz val="11"/>
      <color theme="1"/>
      <name val="宋体"/>
      <charset val="134"/>
    </font>
    <font>
      <sz val="16"/>
      <color rgb="FF000000"/>
      <name val="宋体"/>
      <charset val="134"/>
    </font>
    <font>
      <b/>
      <sz val="20"/>
      <color rgb="FF000000"/>
      <name val="Arial"/>
      <charset val="134"/>
    </font>
    <font>
      <b/>
      <sz val="20"/>
      <color theme="1"/>
      <name val="Arial"/>
      <charset val="134"/>
    </font>
    <font>
      <sz val="16"/>
      <color theme="1"/>
      <name val="宋体"/>
      <charset val="134"/>
    </font>
    <font>
      <b/>
      <sz val="16"/>
      <color rgb="FF000000"/>
      <name val="Arial"/>
      <charset val="134"/>
    </font>
    <font>
      <b/>
      <sz val="16"/>
      <color theme="1"/>
      <name val="Arial"/>
      <charset val="134"/>
    </font>
    <font>
      <b/>
      <sz val="16"/>
      <color theme="1"/>
      <name val="Arial"/>
      <family val="2"/>
    </font>
    <font>
      <sz val="28"/>
      <color theme="1"/>
      <name val="Aptos"/>
      <family val="2"/>
    </font>
    <font>
      <sz val="20"/>
      <color theme="1"/>
      <name val="Aptos"/>
      <family val="2"/>
    </font>
    <font>
      <sz val="16"/>
      <color theme="1"/>
      <name val="Aptos"/>
      <family val="2"/>
    </font>
    <font>
      <sz val="11"/>
      <color theme="1"/>
      <name val="Aptos"/>
      <family val="2"/>
    </font>
    <font>
      <sz val="16"/>
      <color rgb="FF000000"/>
      <name val="Aptos"/>
      <family val="2"/>
    </font>
    <font>
      <sz val="16"/>
      <color theme="7"/>
      <name val="Aptos"/>
      <family val="2"/>
    </font>
    <font>
      <b/>
      <sz val="20"/>
      <color rgb="FF000000"/>
      <name val="Aptos"/>
      <family val="2"/>
    </font>
    <font>
      <b/>
      <sz val="16"/>
      <color rgb="FF000000"/>
      <name val="Aptos"/>
      <family val="2"/>
    </font>
    <font>
      <b/>
      <sz val="16"/>
      <color theme="4"/>
      <name val="Aptos"/>
      <family val="2"/>
    </font>
    <font>
      <b/>
      <sz val="16"/>
      <color theme="7"/>
      <name val="Aptos"/>
      <family val="2"/>
    </font>
    <font>
      <b/>
      <sz val="16"/>
      <color theme="1"/>
      <name val="Aptos"/>
      <family val="2"/>
    </font>
    <font>
      <sz val="16"/>
      <color rgb="FFFF0000"/>
      <name val="Aptos"/>
      <family val="2"/>
    </font>
    <font>
      <b/>
      <sz val="24"/>
      <color theme="1"/>
      <name val="Aptos"/>
      <family val="2"/>
    </font>
    <font>
      <b/>
      <sz val="28"/>
      <color theme="1"/>
      <name val="Aptos"/>
      <family val="2"/>
    </font>
    <font>
      <b/>
      <sz val="14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 readingOrder="1"/>
    </xf>
    <xf numFmtId="165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horizontal="right" vertical="center"/>
    </xf>
    <xf numFmtId="166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 vertical="center" wrapText="1" readingOrder="1"/>
    </xf>
    <xf numFmtId="0" fontId="13" fillId="0" borderId="0" xfId="0" applyFont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4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 readingOrder="1"/>
    </xf>
    <xf numFmtId="0" fontId="20" fillId="0" borderId="0" xfId="0" applyFont="1" applyAlignment="1">
      <alignment horizontal="left" vertical="center" wrapText="1" readingOrder="1"/>
    </xf>
    <xf numFmtId="165" fontId="17" fillId="0" borderId="0" xfId="0" applyNumberFormat="1" applyFont="1" applyAlignment="1">
      <alignment horizontal="right" vertical="center"/>
    </xf>
    <xf numFmtId="166" fontId="17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left" vertical="center" wrapText="1" readingOrder="1"/>
    </xf>
    <xf numFmtId="0" fontId="22" fillId="0" borderId="0" xfId="0" applyFont="1" applyAlignment="1">
      <alignment horizontal="left" vertical="center" wrapText="1" readingOrder="1"/>
    </xf>
    <xf numFmtId="0" fontId="23" fillId="0" borderId="0" xfId="0" applyFont="1" applyAlignment="1">
      <alignment horizontal="left" vertical="center" wrapText="1" readingOrder="1"/>
    </xf>
    <xf numFmtId="0" fontId="2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wrapText="1" readingOrder="1"/>
    </xf>
    <xf numFmtId="164" fontId="24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zoomScale="89" zoomScaleNormal="89" workbookViewId="0">
      <selection activeCell="E4" sqref="E4"/>
    </sheetView>
  </sheetViews>
  <sheetFormatPr defaultColWidth="8.84375" defaultRowHeight="14.6"/>
  <cols>
    <col min="1" max="1" width="43.3828125" style="1" customWidth="1"/>
    <col min="2" max="2" width="17.921875" style="1" customWidth="1"/>
    <col min="3" max="3" width="21.69140625" style="1" customWidth="1"/>
    <col min="4" max="4" width="37.3046875" style="1" customWidth="1"/>
    <col min="5" max="5" width="33.15234375" style="1" customWidth="1"/>
    <col min="6" max="6" width="15.53515625" style="1" customWidth="1"/>
    <col min="7" max="7" width="15.3828125" style="1" customWidth="1"/>
    <col min="11" max="11" width="38.23046875" customWidth="1"/>
    <col min="12" max="12" width="17.61328125" customWidth="1"/>
    <col min="13" max="13" width="15.84375" customWidth="1"/>
    <col min="14" max="14" width="15.3828125" customWidth="1"/>
    <col min="17" max="17" width="42.84375" customWidth="1"/>
  </cols>
  <sheetData>
    <row r="1" spans="1:7" ht="36.9">
      <c r="A1" s="40" t="s">
        <v>0</v>
      </c>
      <c r="B1" s="24" t="s">
        <v>1</v>
      </c>
      <c r="C1" s="24" t="s">
        <v>2</v>
      </c>
      <c r="D1" s="20"/>
      <c r="E1" s="5"/>
      <c r="F1" s="5"/>
      <c r="G1" s="5"/>
    </row>
    <row r="2" spans="1:7" ht="20.6">
      <c r="A2" s="21" t="s">
        <v>9</v>
      </c>
      <c r="B2" s="22">
        <v>7458.46</v>
      </c>
      <c r="C2" s="23">
        <v>10422.43</v>
      </c>
      <c r="D2" s="24"/>
      <c r="E2" s="5"/>
      <c r="F2" s="5"/>
      <c r="G2" s="5"/>
    </row>
    <row r="3" spans="1:7" ht="27" customHeight="1">
      <c r="A3" s="21" t="s">
        <v>3</v>
      </c>
      <c r="B3" s="22">
        <v>3250</v>
      </c>
      <c r="C3" s="23"/>
      <c r="D3" s="25"/>
      <c r="E3" s="5"/>
      <c r="F3" s="5"/>
      <c r="G3" s="5"/>
    </row>
    <row r="4" spans="1:7" ht="27" customHeight="1">
      <c r="A4" s="26" t="s">
        <v>10</v>
      </c>
      <c r="B4" s="37"/>
      <c r="C4" s="37"/>
      <c r="E4" s="8"/>
      <c r="F4" s="5"/>
      <c r="G4" s="5"/>
    </row>
    <row r="5" spans="1:7" ht="14.05" customHeight="1">
      <c r="A5" s="27" t="s">
        <v>31</v>
      </c>
      <c r="B5" s="38">
        <f>B40</f>
        <v>3337.9799999999996</v>
      </c>
      <c r="C5" s="38">
        <f>C40</f>
        <v>-31.800000000000011</v>
      </c>
      <c r="D5" s="25"/>
      <c r="E5" s="5"/>
      <c r="F5" s="5"/>
      <c r="G5" s="5"/>
    </row>
    <row r="6" spans="1:7" ht="20.6">
      <c r="A6" s="26"/>
      <c r="B6" s="23"/>
      <c r="C6" s="23"/>
      <c r="D6" s="25"/>
      <c r="E6" s="5"/>
      <c r="F6" s="5"/>
      <c r="G6" s="5"/>
    </row>
    <row r="7" spans="1:7" ht="36.9">
      <c r="A7" s="19" t="s">
        <v>4</v>
      </c>
      <c r="B7" s="39">
        <f>B2+B4+B5-B26</f>
        <v>10490.439999999999</v>
      </c>
      <c r="C7" s="39">
        <f>C2+C4+C5-C26</f>
        <v>10155.130000000001</v>
      </c>
      <c r="D7" s="25"/>
      <c r="E7" s="5"/>
      <c r="F7" s="5"/>
      <c r="G7" s="5"/>
    </row>
    <row r="8" spans="1:7" ht="20.6">
      <c r="A8" s="25"/>
      <c r="B8" s="24"/>
      <c r="C8" s="24"/>
      <c r="D8" s="25"/>
      <c r="E8" s="5"/>
      <c r="F8" s="5"/>
      <c r="G8" s="5"/>
    </row>
    <row r="9" spans="1:7" ht="36.9">
      <c r="A9" s="40" t="s">
        <v>25</v>
      </c>
      <c r="B9" s="24" t="s">
        <v>1</v>
      </c>
      <c r="C9" s="24" t="s">
        <v>2</v>
      </c>
      <c r="D9" s="25"/>
      <c r="E9" s="5"/>
      <c r="F9" s="5"/>
      <c r="G9" s="5"/>
    </row>
    <row r="10" spans="1:7" ht="20.6">
      <c r="A10" s="21"/>
      <c r="B10" s="24"/>
      <c r="C10" s="24"/>
      <c r="D10" s="25"/>
      <c r="E10" s="5"/>
      <c r="F10" s="5"/>
      <c r="G10" s="5"/>
    </row>
    <row r="11" spans="1:7" ht="26.15">
      <c r="A11" s="26" t="s">
        <v>11</v>
      </c>
      <c r="B11" s="28">
        <v>118.64</v>
      </c>
      <c r="C11" s="28"/>
      <c r="D11" s="20"/>
      <c r="E11" s="5"/>
      <c r="F11" s="5"/>
      <c r="G11" s="5"/>
    </row>
    <row r="12" spans="1:7" ht="20.6">
      <c r="A12" s="26" t="s">
        <v>12</v>
      </c>
      <c r="B12" s="23">
        <v>32.97</v>
      </c>
      <c r="C12" s="23"/>
      <c r="D12" s="25"/>
      <c r="E12" s="5"/>
      <c r="F12" s="5"/>
      <c r="G12" s="5"/>
    </row>
    <row r="13" spans="1:7" ht="20.6">
      <c r="A13" s="26" t="s">
        <v>13</v>
      </c>
      <c r="B13" s="29">
        <v>33.9</v>
      </c>
      <c r="C13" s="23"/>
      <c r="D13" s="25"/>
      <c r="E13" s="5"/>
      <c r="F13" s="5"/>
      <c r="G13" s="5"/>
    </row>
    <row r="14" spans="1:7" ht="20.6">
      <c r="A14" s="26" t="s">
        <v>14</v>
      </c>
      <c r="B14" s="23"/>
      <c r="C14" s="28"/>
      <c r="D14" s="25"/>
      <c r="F14" s="5"/>
      <c r="G14" s="5"/>
    </row>
    <row r="15" spans="1:7" ht="20.6">
      <c r="A15" s="26" t="s">
        <v>15</v>
      </c>
      <c r="B15" s="29"/>
      <c r="C15" s="23">
        <v>51.3</v>
      </c>
      <c r="D15" s="25"/>
      <c r="E15" s="5"/>
      <c r="F15" s="5"/>
      <c r="G15" s="5"/>
    </row>
    <row r="16" spans="1:7" ht="20.6">
      <c r="A16" s="26" t="s">
        <v>16</v>
      </c>
      <c r="B16" s="23">
        <v>29.36</v>
      </c>
      <c r="C16" s="23"/>
      <c r="D16" s="25"/>
      <c r="E16" s="5"/>
      <c r="F16" s="5"/>
      <c r="G16" s="5"/>
    </row>
    <row r="17" spans="1:7" ht="20.6">
      <c r="A17" s="26" t="s">
        <v>17</v>
      </c>
      <c r="B17" s="23">
        <v>3.15</v>
      </c>
      <c r="C17" s="23"/>
      <c r="D17" s="25"/>
      <c r="E17" s="5"/>
      <c r="F17" s="5"/>
      <c r="G17" s="5"/>
    </row>
    <row r="18" spans="1:7" ht="20.6">
      <c r="A18" s="26" t="s">
        <v>18</v>
      </c>
      <c r="B18" s="23"/>
      <c r="C18" s="23"/>
      <c r="D18" s="25"/>
      <c r="E18" s="5"/>
      <c r="F18" s="5"/>
      <c r="G18" s="5"/>
    </row>
    <row r="19" spans="1:7" ht="20.6">
      <c r="A19" s="26" t="s">
        <v>20</v>
      </c>
      <c r="B19" s="23"/>
      <c r="C19" s="23"/>
      <c r="D19" s="25"/>
      <c r="E19" s="5"/>
      <c r="F19" s="5"/>
      <c r="G19" s="5"/>
    </row>
    <row r="20" spans="1:7" ht="20.6">
      <c r="A20" s="26" t="s">
        <v>21</v>
      </c>
      <c r="B20" s="23"/>
      <c r="C20" s="23">
        <v>216</v>
      </c>
      <c r="D20" s="25"/>
    </row>
    <row r="21" spans="1:7" ht="20.6">
      <c r="A21" s="26" t="s">
        <v>22</v>
      </c>
      <c r="B21" s="23"/>
      <c r="C21" s="29"/>
      <c r="D21" s="25"/>
    </row>
    <row r="22" spans="1:7" ht="20.6">
      <c r="A22" s="26" t="s">
        <v>23</v>
      </c>
      <c r="B22" s="23"/>
      <c r="C22" s="29"/>
      <c r="D22" s="25"/>
    </row>
    <row r="23" spans="1:7" ht="20.6">
      <c r="A23" s="21" t="s">
        <v>19</v>
      </c>
      <c r="B23" s="23"/>
      <c r="C23" s="23"/>
      <c r="D23" s="25"/>
    </row>
    <row r="24" spans="1:7" ht="20.6">
      <c r="B24" s="24"/>
      <c r="C24" s="24"/>
      <c r="D24" s="25"/>
    </row>
    <row r="25" spans="1:7" ht="26.15">
      <c r="A25" s="30" t="s">
        <v>5</v>
      </c>
      <c r="B25" s="36">
        <f>SUM(B10:B23)</f>
        <v>218.02</v>
      </c>
      <c r="C25" s="36">
        <f>SUM(C10:C23)</f>
        <v>267.3</v>
      </c>
      <c r="D25" s="25"/>
      <c r="E25" s="14"/>
    </row>
    <row r="26" spans="1:7" ht="26.15">
      <c r="A26" s="30" t="s">
        <v>6</v>
      </c>
      <c r="B26" s="28">
        <v>306</v>
      </c>
      <c r="C26" s="28">
        <v>235.5</v>
      </c>
      <c r="D26" s="25"/>
    </row>
    <row r="27" spans="1:7" ht="26.15">
      <c r="A27" s="30" t="s">
        <v>7</v>
      </c>
      <c r="B27" s="28">
        <f>B26-B25</f>
        <v>87.97999999999999</v>
      </c>
      <c r="C27" s="28">
        <f>C26-C25</f>
        <v>-31.800000000000011</v>
      </c>
      <c r="D27" s="25"/>
    </row>
    <row r="28" spans="1:7" ht="34.299999999999997">
      <c r="A28" s="25"/>
      <c r="B28" s="24"/>
      <c r="C28" s="24"/>
      <c r="D28" s="25"/>
      <c r="E28" s="2"/>
      <c r="F28" s="3"/>
      <c r="G28" s="4"/>
    </row>
    <row r="29" spans="1:7" ht="31.75">
      <c r="A29" s="41" t="s">
        <v>24</v>
      </c>
      <c r="B29" s="24" t="s">
        <v>1</v>
      </c>
      <c r="C29" s="24" t="s">
        <v>2</v>
      </c>
      <c r="D29" s="25"/>
      <c r="E29" s="9"/>
    </row>
    <row r="30" spans="1:7" ht="20.6">
      <c r="A30" s="21" t="s">
        <v>27</v>
      </c>
      <c r="B30" s="22">
        <f>B27*0.5</f>
        <v>43.989999999999995</v>
      </c>
      <c r="C30" s="22">
        <f>C27*0.5</f>
        <v>-15.900000000000006</v>
      </c>
      <c r="D30" s="25"/>
      <c r="F30" s="10"/>
      <c r="G30" s="11"/>
    </row>
    <row r="31" spans="1:7" ht="20.6">
      <c r="A31" s="26" t="s">
        <v>26</v>
      </c>
      <c r="B31" s="22">
        <f>B27*0.4</f>
        <v>35.192</v>
      </c>
      <c r="C31" s="22">
        <f>C27*0.4</f>
        <v>-12.720000000000006</v>
      </c>
      <c r="D31" s="25"/>
      <c r="E31" s="9"/>
      <c r="F31" s="10"/>
      <c r="G31" s="11"/>
    </row>
    <row r="32" spans="1:7" ht="20.6">
      <c r="A32" s="31" t="s">
        <v>29</v>
      </c>
      <c r="B32" s="22">
        <f>B27*0.1</f>
        <v>8.798</v>
      </c>
      <c r="C32" s="22">
        <f>C27*0.1</f>
        <v>-3.1800000000000015</v>
      </c>
      <c r="D32" s="25"/>
      <c r="E32" s="6"/>
      <c r="F32" s="11"/>
      <c r="G32" s="11"/>
    </row>
    <row r="33" spans="1:7" ht="20.6">
      <c r="A33" s="32" t="s">
        <v>8</v>
      </c>
      <c r="B33" s="33">
        <f>B30+B31+B32</f>
        <v>87.97999999999999</v>
      </c>
      <c r="C33" s="33">
        <f>C30+C31+C32</f>
        <v>-31.800000000000011</v>
      </c>
      <c r="D33" s="25"/>
      <c r="E33" s="7"/>
      <c r="F33" s="11"/>
      <c r="G33" s="11"/>
    </row>
    <row r="34" spans="1:7" ht="20.6">
      <c r="A34" s="25"/>
      <c r="B34" s="24"/>
      <c r="C34" s="24"/>
      <c r="D34" s="25"/>
      <c r="E34" s="7"/>
      <c r="F34" s="10"/>
      <c r="G34" s="10"/>
    </row>
    <row r="35" spans="1:7" ht="20.6">
      <c r="A35" s="25"/>
      <c r="B35" s="24"/>
      <c r="C35" s="24"/>
      <c r="D35" s="28"/>
      <c r="E35" s="7"/>
    </row>
    <row r="36" spans="1:7" ht="36.9">
      <c r="A36" s="40" t="s">
        <v>28</v>
      </c>
      <c r="B36" s="24" t="s">
        <v>1</v>
      </c>
      <c r="C36" s="24" t="s">
        <v>2</v>
      </c>
      <c r="D36" s="25"/>
      <c r="E36" s="12"/>
      <c r="F36" s="13"/>
      <c r="G36" s="13"/>
    </row>
    <row r="37" spans="1:7" ht="20.6">
      <c r="A37" s="21" t="s">
        <v>27</v>
      </c>
      <c r="B37" s="22">
        <f>(B27+B3)*0.5</f>
        <v>1668.99</v>
      </c>
      <c r="C37" s="22">
        <f>(C27+C3)*0.5</f>
        <v>-15.900000000000006</v>
      </c>
      <c r="D37" s="25"/>
    </row>
    <row r="38" spans="1:7" ht="20.6">
      <c r="A38" s="26" t="s">
        <v>26</v>
      </c>
      <c r="B38" s="22">
        <f>(B27+B3)*0.4</f>
        <v>1335.192</v>
      </c>
      <c r="C38" s="22">
        <f>(C27+C3)*0.4</f>
        <v>-12.720000000000006</v>
      </c>
      <c r="D38" s="25"/>
    </row>
    <row r="39" spans="1:7" ht="20.6">
      <c r="A39" s="34" t="s">
        <v>30</v>
      </c>
      <c r="B39" s="35">
        <f>(B27+B3)*0.1</f>
        <v>333.798</v>
      </c>
      <c r="C39" s="35">
        <f>(C27+C3)*0.1</f>
        <v>-3.1800000000000015</v>
      </c>
      <c r="D39" s="25"/>
    </row>
    <row r="40" spans="1:7" ht="20.6">
      <c r="A40" s="31" t="s">
        <v>8</v>
      </c>
      <c r="B40" s="36">
        <f>B37+B38+B39</f>
        <v>3337.9799999999996</v>
      </c>
      <c r="C40" s="36">
        <f>C37+C38+C39</f>
        <v>-31.800000000000011</v>
      </c>
      <c r="D40" s="25"/>
    </row>
    <row r="42" spans="1:7" ht="20.149999999999999">
      <c r="D42" s="17"/>
    </row>
    <row r="43" spans="1:7" ht="20.149999999999999">
      <c r="A43" s="15"/>
      <c r="B43" s="18"/>
      <c r="C43" s="16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彦辰 厉</cp:lastModifiedBy>
  <dcterms:created xsi:type="dcterms:W3CDTF">2025-12-29T19:03:00Z</dcterms:created>
  <dcterms:modified xsi:type="dcterms:W3CDTF">2026-03-04T04:07:57Z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4767432745574741B8D8ECEAEBB0E5C2_11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